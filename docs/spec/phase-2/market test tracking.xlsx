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TES" sheetId="1" state="visible" r:id="rId3"/>
    <sheet name="DEMAND" sheetId="2" state="visible" r:id="rId4"/>
    <sheet name="SUPPLY" sheetId="3" state="visible" r:id="rId5"/>
    <sheet name="CHANNELS" sheetId="4" state="visible" r:id="rId6"/>
    <sheet name="OR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<sst xmlns="http://schemas.openxmlformats.org/spreadsheetml/2006/main" count="79" uniqueCount="73">
  <si>
    <t xml:space="preserve">GATES DASHBOARD — the spreadsheet says pass or kill, not memory or mood</t>
  </si>
  <si>
    <t xml:space="preserve">MANUAL INPUTS (daily)</t>
  </si>
  <si>
    <t xml:space="preserve">Unique landing sessions (from analytics)</t>
  </si>
  <si>
    <t xml:space="preserve">Enter each evening. Effort floor: 300.</t>
  </si>
  <si>
    <t xml:space="preserve">Test day number</t>
  </si>
  <si>
    <t xml:space="preserve">Day 0 = first outbound anything. Window: 14 days.</t>
  </si>
  <si>
    <t xml:space="preserve">DEMAND — computed</t>
  </si>
  <si>
    <t xml:space="preserve">COMMITs (stage=commit AND price&gt;=floor)</t>
  </si>
  <si>
    <t xml:space="preserve">Deposit commits must also show in Stripe.</t>
  </si>
  <si>
    <t xml:space="preserve">…of which STRANGER</t>
  </si>
  <si>
    <t xml:space="preserve">Gate: &gt;=2.</t>
  </si>
  <si>
    <t xml:space="preserve">…of which Form B (retainer) commits</t>
  </si>
  <si>
    <t xml:space="preserve">Qualified retainer conversations</t>
  </si>
  <si>
    <t xml:space="preserve">Gate alt: &gt;=3.</t>
  </si>
  <si>
    <t xml:space="preserve">C1 quotes delivered</t>
  </si>
  <si>
    <t xml:space="preserve">Effort floor: 10.</t>
  </si>
  <si>
    <t xml:space="preserve">C2 outreach touches</t>
  </si>
  <si>
    <t xml:space="preserve">Effort floor: 25. (Counts logged channel actions.)</t>
  </si>
  <si>
    <t xml:space="preserve">Demand effort floors met</t>
  </si>
  <si>
    <t xml:space="preserve">DEMAND VERDICT</t>
  </si>
  <si>
    <t xml:space="preserve">Locked thresholds per protocol §5.</t>
  </si>
  <si>
    <t xml:space="preserve">SUPPLY — computed</t>
  </si>
  <si>
    <t xml:space="preserve">Worker conversations logged</t>
  </si>
  <si>
    <t xml:space="preserve">Effort floor: 5. All compensated $30.</t>
  </si>
  <si>
    <t xml:space="preserve">Take-it / next-step</t>
  </si>
  <si>
    <t xml:space="preserve">Gate: &gt;=3.</t>
  </si>
  <si>
    <t xml:space="preserve">No — on merits (R1/R3/R4/R5)</t>
  </si>
  <si>
    <t xml:space="preserve">No — eligibility (R2)</t>
  </si>
  <si>
    <t xml:space="preserve">Orgs engaged (substantive)</t>
  </si>
  <si>
    <t xml:space="preserve">Silence = data, never a kill. 2 touches max per org.</t>
  </si>
  <si>
    <t xml:space="preserve">SUPPLY VERDICT</t>
  </si>
  <si>
    <t xml:space="preserve">Locked thresholds per protocol §6.</t>
  </si>
  <si>
    <t xml:space="preserve">JOINT</t>
  </si>
  <si>
    <t xml:space="preserve">JOINT VERDICT</t>
  </si>
  <si>
    <t xml:space="preserve">Protocol §1 joint rule, verbatim.</t>
  </si>
  <si>
    <t xml:space="preserve">A/B LEARNING (informative, not gates)</t>
  </si>
  <si>
    <t xml:space="preserve">Form A commits</t>
  </si>
  <si>
    <t xml:space="preserve">Form B commits</t>
  </si>
  <si>
    <t xml:space="preserve">Flagship (more commits)</t>
  </si>
  <si>
    <t xml:space="preserve">Top objection</t>
  </si>
  <si>
    <t xml:space="preserve">Crude modal objection; eyeball the log too.</t>
  </si>
  <si>
    <t xml:space="preserve">Date</t>
  </si>
  <si>
    <t xml:space="preserve">Channel</t>
  </si>
  <si>
    <t xml:space="preserve">Name</t>
  </si>
  <si>
    <t xml:space="preserve">Neighborhood</t>
  </si>
  <si>
    <t xml:space="preserve">Form</t>
  </si>
  <si>
    <t xml:space="preserve">Stage</t>
  </si>
  <si>
    <t xml:space="preserve">Price&gt;=Floor</t>
  </si>
  <si>
    <t xml:space="preserve">Deposit Paid</t>
  </si>
  <si>
    <t xml:space="preserve">Stranger</t>
  </si>
  <si>
    <t xml:space="preserve">Objection</t>
  </si>
  <si>
    <t xml:space="preserve">Notes</t>
  </si>
  <si>
    <t xml:space="preserve">First name</t>
  </si>
  <si>
    <t xml:space="preserve">Current work</t>
  </si>
  <si>
    <t xml:space="preserve">Years exp</t>
  </si>
  <si>
    <t xml:space="preserve">Verdict</t>
  </si>
  <si>
    <t xml:space="preserve">Reason code</t>
  </si>
  <si>
    <t xml:space="preserve">Wage expectation</t>
  </si>
  <si>
    <t xml:space="preserve">Paid $30</t>
  </si>
  <si>
    <t xml:space="preserve">Action</t>
  </si>
  <si>
    <t xml:space="preserve">Target (group/thread)</t>
  </si>
  <si>
    <t xml:space="preserve">Link</t>
  </si>
  <si>
    <t xml:space="preserve">Response</t>
  </si>
  <si>
    <t xml:space="preserve">Org</t>
  </si>
  <si>
    <t xml:space="preserve">Contact</t>
  </si>
  <si>
    <t xml:space="preserve">Touch 1 date</t>
  </si>
  <si>
    <t xml:space="preserve">Touch 2 date</t>
  </si>
  <si>
    <t xml:space="preserve">Engaged (substantive)</t>
  </si>
  <si>
    <t xml:space="preserve">Substance / next step</t>
  </si>
  <si>
    <t xml:space="preserve">Status</t>
  </si>
  <si>
    <t xml:space="preserve">IDEPSCA</t>
  </si>
  <si>
    <t xml:space="preserve">Pilipino Workers Center</t>
  </si>
  <si>
    <t xml:space="preserve">CA Domestic Workers Coalition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</si>
</sst>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8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64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  <c r="B4" s="5" t="n">
        <v>0</v>
      </c>
      <c r="C4" s="6" t="s">
        <v>3</v>
      </c>
    </row>
    <row r="5" customFormat="false" ht="15" hidden="false" customHeight="true" outlineLevel="0" collapsed="false">
      <c r="A5" s="4" t="s">
        <v>4</v>
      </c>
      <c r="B5" s="5" t="n">
        <v>0</v>
      </c>
      <c r="C5" s="6" t="s">
        <v>5</v>
      </c>
    </row>
    <row r="7" customFormat="false" ht="15" hidden="false" customHeight="true" outlineLevel="0" collapsed="false">
      <c r="A7" s="3" t="s">
        <v>6</v>
      </c>
    </row>
    <row r="8" customFormat="false" ht="15" hidden="false" customHeight="true" outlineLevel="0" collapsed="false">
      <c r="A8" s="4" t="s">
        <v>7</v>
      </c>
      <c r="B8" s="7" t="n">
        <f aca="false">COUNTIFS(DEMAND!F:F,"commit",DEMAND!G:G,"Y")</f>
        <v>0</v>
      </c>
      <c r="C8" s="6" t="s">
        <v>8</v>
      </c>
    </row>
    <row r="9" customFormat="false" ht="15" hidden="false" customHeight="true" outlineLevel="0" collapsed="false">
      <c r="A9" s="4" t="s">
        <v>9</v>
      </c>
      <c r="B9" s="7" t="n">
        <f aca="false">COUNTIFS(DEMAND!F:F,"commit",DEMAND!G:G,"Y",DEMAND!I:I,"Y")</f>
        <v>0</v>
      </c>
      <c r="C9" s="6" t="s">
        <v>10</v>
      </c>
    </row>
    <row r="10" customFormat="false" ht="15" hidden="false" customHeight="true" outlineLevel="0" collapsed="false">
      <c r="A10" s="4" t="s">
        <v>11</v>
      </c>
      <c r="B10" s="7" t="n">
        <f aca="false">COUNTIFS(DEMAND!F:F,"commit",DEMAND!G:G,"Y",DEMAND!E:E,"B")</f>
        <v>0</v>
      </c>
    </row>
    <row r="11" customFormat="false" ht="15" hidden="false" customHeight="true" outlineLevel="0" collapsed="false">
      <c r="A11" s="4" t="s">
        <v>12</v>
      </c>
      <c r="B11" s="7" t="n">
        <f aca="false">COUNTIFS(DEMAND!E:E,"B",DEMAND!F:F,"qualified")+COUNTIFS(DEMAND!E:E,"B",DEMAND!F:F,"commit")</f>
        <v>0</v>
      </c>
      <c r="C11" s="6" t="s">
        <v>13</v>
      </c>
    </row>
    <row r="12" customFormat="false" ht="15" hidden="false" customHeight="true" outlineLevel="0" collapsed="false">
      <c r="A12" s="4" t="s">
        <v>14</v>
      </c>
      <c r="B12" s="7" t="n">
        <f aca="false">COUNTIF(DEMAND!B:B,"C1*")</f>
        <v>0</v>
      </c>
      <c r="C12" s="6" t="s">
        <v>15</v>
      </c>
    </row>
    <row r="13" customFormat="false" ht="15" hidden="false" customHeight="true" outlineLevel="0" collapsed="false">
      <c r="A13" s="4" t="s">
        <v>16</v>
      </c>
      <c r="B13" s="7" t="n">
        <f aca="false">COUNTA(CHANNELS!C:C)-1</f>
        <v>0</v>
      </c>
      <c r="C13" s="6" t="s">
        <v>17</v>
      </c>
    </row>
    <row r="14" customFormat="false" ht="15" hidden="false" customHeight="true" outlineLevel="0" collapsed="false">
      <c r="A14" s="4" t="s">
        <v>18</v>
      </c>
      <c r="B14" s="7" t="str">
        <f aca="false">IF(AND(B12&gt;=10,B4&gt;=300,B13&gt;=25),"YES","NO")</f>
        <v>NO</v>
      </c>
    </row>
    <row r="15" customFormat="false" ht="15" hidden="false" customHeight="true" outlineLevel="0" collapsed="false">
      <c r="A15" s="4" t="s">
        <v>19</v>
      </c>
      <c r="B15" s="8" t="str">
        <f aca="false">IF(AND(B8&gt;=5,B9&gt;=2,OR(B10&gt;=1,B11&gt;=3)),"PASS",IF(B8&gt;=3,"MARGINAL — one 7-day extension",IF(B14="YES","KILL","INCOMPLETE — floors unmet")))</f>
        <v>INCOMPLETE — floors unmet</v>
      </c>
      <c r="C15" s="6" t="s">
        <v>20</v>
      </c>
    </row>
    <row r="17" customFormat="false" ht="15" hidden="false" customHeight="true" outlineLevel="0" collapsed="false">
      <c r="A17" s="3" t="s">
        <v>21</v>
      </c>
    </row>
    <row r="18" customFormat="false" ht="15" hidden="false" customHeight="true" outlineLevel="0" collapsed="false">
      <c r="A18" s="4" t="s">
        <v>22</v>
      </c>
      <c r="B18" s="7" t="n">
        <f aca="false">COUNTA(SUPPLY!A:A)-1</f>
        <v>0</v>
      </c>
      <c r="C18" s="6" t="s">
        <v>23</v>
      </c>
    </row>
    <row r="19" customFormat="false" ht="15" hidden="false" customHeight="true" outlineLevel="0" collapsed="false">
      <c r="A19" s="4" t="s">
        <v>24</v>
      </c>
      <c r="B19" s="7" t="n">
        <f aca="false">COUNTIF(SUPPLY!F:F,"take")</f>
        <v>0</v>
      </c>
      <c r="C19" s="6" t="s">
        <v>25</v>
      </c>
    </row>
    <row r="20" customFormat="false" ht="15" hidden="false" customHeight="true" outlineLevel="0" collapsed="false">
      <c r="A20" s="4" t="s">
        <v>26</v>
      </c>
      <c r="B20" s="7" t="n">
        <f aca="false">COUNTIFS(SUPPLY!F:F,"no",SUPPLY!G:G,"R1-cash")+COUNTIFS(SUPPLY!F:F,"no",SUPPLY!G:G,"R3-distrust")+COUNTIFS(SUPPLY!F:F,"no",SUPPLY!G:G,"R4-schedule")+COUNTIFS(SUPPLY!F:F,"no",SUPPLY!G:G,"R5-wage")</f>
        <v>0</v>
      </c>
    </row>
    <row r="21" customFormat="false" ht="15" hidden="false" customHeight="true" outlineLevel="0" collapsed="false">
      <c r="A21" s="4" t="s">
        <v>27</v>
      </c>
      <c r="B21" s="7" t="n">
        <f aca="false">COUNTIFS(SUPPLY!F:F,"no",SUPPLY!G:G,"R2-eligibility")</f>
        <v>0</v>
      </c>
    </row>
    <row r="22" customFormat="false" ht="15" hidden="false" customHeight="true" outlineLevel="0" collapsed="false">
      <c r="A22" s="4" t="s">
        <v>28</v>
      </c>
      <c r="B22" s="7" t="n">
        <f aca="false">COUNTIF(ORGS!E:E,"Y")</f>
        <v>0</v>
      </c>
      <c r="C22" s="6" t="s">
        <v>29</v>
      </c>
    </row>
    <row r="23" customFormat="false" ht="15" hidden="false" customHeight="true" outlineLevel="0" collapsed="false">
      <c r="A23" s="4" t="s">
        <v>30</v>
      </c>
      <c r="B23" s="8" t="str">
        <f aca="false">IF(B19&gt;=3,IF(B22&gt;=1,"PASS-A","PASS-B"),IF(B21&gt;=3,"INDETERMINATE — eligibility review",IF(AND(B18&gt;=5,B20&gt;=4),"KILL","IN PROGRESS")))</f>
        <v>IN PROGRESS</v>
      </c>
      <c r="C23" s="6" t="s">
        <v>31</v>
      </c>
    </row>
    <row r="25" customFormat="false" ht="15" hidden="false" customHeight="true" outlineLevel="0" collapsed="false">
      <c r="A25" s="3" t="s">
        <v>32</v>
      </c>
    </row>
    <row r="26" customFormat="false" ht="15" hidden="false" customHeight="true" outlineLevel="0" collapsed="false">
      <c r="A26" s="4" t="s">
        <v>33</v>
      </c>
      <c r="B26" s="9" t="str">
        <f aca="false">IF(OR(B15="KILL",B23="KILL"),"FULL KILL — one side killing kills the thesis",IF(AND(B15="PASS",OR(B23="PASS-A",B23="PASS-B")),"GO — first jobs on texts + Stripe; booking loop unlocks","OPEN"))</f>
        <v>OPEN</v>
      </c>
      <c r="C26" s="6" t="s">
        <v>34</v>
      </c>
    </row>
    <row r="28" customFormat="false" ht="15" hidden="false" customHeight="true" outlineLevel="0" collapsed="false">
      <c r="A28" s="3" t="s">
        <v>35</v>
      </c>
    </row>
    <row r="29" customFormat="false" ht="15" hidden="false" customHeight="true" outlineLevel="0" collapsed="false">
      <c r="A29" s="4" t="s">
        <v>36</v>
      </c>
      <c r="B29" s="7" t="n">
        <f aca="false">COUNTIFS(DEMAND!F:F,"commit",DEMAND!G:G,"Y",DEMAND!E:E,"A")</f>
        <v>0</v>
      </c>
    </row>
    <row r="30" customFormat="false" ht="15" hidden="false" customHeight="true" outlineLevel="0" collapsed="false">
      <c r="A30" s="4" t="s">
        <v>37</v>
      </c>
      <c r="B30" s="7" t="n">
        <f aca="false">B10</f>
        <v>0</v>
      </c>
    </row>
    <row r="31" customFormat="false" ht="15" hidden="false" customHeight="true" outlineLevel="0" collapsed="false">
      <c r="A31" s="4" t="s">
        <v>38</v>
      </c>
      <c r="B31" s="7" t="str">
        <f aca="false">IF(B29&gt;B30,"Form A — cleaning",IF(B30&gt;B29,"Form B — retainer","TIE — founder judgment, logged"))</f>
        <v>TIE — founder judgment, logged</v>
      </c>
    </row>
    <row r="32" customFormat="false" ht="15" hidden="false" customHeight="true" outlineLevel="0" collapsed="false">
      <c r="A32" s="4" t="s">
        <v>39</v>
      </c>
      <c r="B32" s="7" t="str">
        <f aca="false">IF(COUNTA(DEMAND!J:J)&lt;=1,"—",INDEX({"O1-price","O2-trust-new","O3-have-someone","O4-timing","O5-deposit-balk","O6-other"},MATCH(MAX(COUNTIF(DEMAND!J:J,"O1-price"),COUNTIF(DEMAND!J:J,"O2-trust-new"),COUNTIF(DEMAND!J:J,"O3-have-someone"),COUNTIF(DEMAND!J:J,"O4-timing"),COUNTIF(DEMAND!J:J,"O5-deposit-balk"),COUNTIF(DEMAND!J:J,"O6-other")),COUNTIF(DEMAND!J:J,"O1-price"),0)))</f>
        <v>—</v>
      </c>
      <c r="C32" s="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7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1" min="11" style="1" width="40"/>
  </cols>
  <sheetData>
    <row r="1" customFormat="false" ht="15" hidden="false" customHeight="true" outlineLevel="0" collapsed="false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</row>
  </sheetData>
  <dataValidations count="5">
    <dataValidation allowBlank="true" errorStyle="stop" operator="between" showDropDown="false" showErrorMessage="false" showInputMessage="false" sqref="B2:B500" type="list">
      <formula1>"C1-warm,C1-cold,C2-web,C2-nextdoor,C2-facebook,C2-reddit,C2-other"</formula1>
      <formula2>0</formula2>
    </dataValidation>
    <dataValidation allowBlank="true" errorStyle="stop" operator="between" showDropDown="false" showErrorMessage="false" showInputMessage="false" sqref="E2:E500" type="list">
      <formula1>"A,B"</formula1>
      <formula2>0</formula2>
    </dataValidation>
    <dataValidation allowBlank="true" errorStyle="stop" operator="between" showDropDown="false" showErrorMessage="false" showInputMessage="false" sqref="F2:F500" type="list">
      <formula1>"lead,qualified,commit"</formula1>
      <formula2>0</formula2>
    </dataValidation>
    <dataValidation allowBlank="true" errorStyle="stop" operator="between" showDropDown="false" showErrorMessage="false" showInputMessage="false" sqref="G2:I500" type="list">
      <formula1>"Y,N"</formula1>
      <formula2>0</formula2>
    </dataValidation>
    <dataValidation allowBlank="true" errorStyle="stop" operator="between" showDropDown="false" showErrorMessage="false" showInputMessage="false" sqref="J2:J500" type="list">
      <formula1>"O1-price,O2-trust-new,O3-have-someone,O4-timing,O5-deposit-balk,O6-other"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9"/>
    <col collapsed="false" customWidth="true" hidden="false" outlineLevel="0" max="10" min="10" style="1" width="40"/>
  </cols>
  <sheetData>
    <row r="1" customFormat="false" ht="15" hidden="false" customHeight="true" outlineLevel="0" collapsed="false">
      <c r="A1" s="3" t="s">
        <v>41</v>
      </c>
      <c r="B1" s="3" t="s">
        <v>42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51</v>
      </c>
    </row>
  </sheetData>
  <dataValidations count="3">
    <dataValidation allowBlank="true" errorStyle="stop" operator="between" showDropDown="false" showErrorMessage="false" showInputMessage="false" sqref="F2:F200" type="list">
      <formula1>"take,maybe,no"</formula1>
      <formula2>0</formula2>
    </dataValidation>
    <dataValidation allowBlank="true" errorStyle="stop" operator="between" showDropDown="false" showErrorMessage="false" showInputMessage="false" sqref="G2:G200" type="list">
      <formula1>"R1-cash,R2-eligibility,R3-distrust,R4-schedule,R5-wage,R6-other"</formula1>
      <formula2>0</formula2>
    </dataValidation>
    <dataValidation allowBlank="true" errorStyle="stop" operator="between" showDropDown="false" showErrorMessage="false" showInputMessage="false" sqref="I2:I2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14"/>
    <col collapsed="false" customWidth="true" hidden="false" outlineLevel="0" max="4" min="4" style="1" width="28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30"/>
  </cols>
  <sheetData>
    <row r="1" customFormat="false" ht="15" hidden="false" customHeight="true" outlineLevel="0" collapsed="false">
      <c r="A1" s="3" t="s">
        <v>41</v>
      </c>
      <c r="B1" s="3" t="s">
        <v>42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51</v>
      </c>
    </row>
  </sheetData>
  <dataValidations count="2">
    <dataValidation allowBlank="true" errorStyle="stop" operator="between" showDropDown="false" showErrorMessage="false" showInputMessage="false" sqref="C2:C500" type="list">
      <formula1>"ISO-reply,post,DM,vendor-thread,comment,other"</formula1>
      <formula2>0</formula2>
    </dataValidation>
    <dataValidation allowBlank="true" errorStyle="stop" operator="between" showDropDown="false" showErrorMessage="false" showInputMessage="false" sqref="F2:F5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30"/>
    <col collapsed="false" customWidth="true" hidden="false" outlineLevel="0" max="7" min="7" style="1" width="14"/>
  </cols>
  <sheetData>
    <row r="1" customFormat="false" ht="15" hidden="false" customHeight="true" outlineLevel="0" collapsed="false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customFormat="false" ht="15" hidden="false" customHeight="true" outlineLevel="0" collapsed="false">
      <c r="A2" s="10" t="s">
        <v>70</v>
      </c>
    </row>
    <row r="3" customFormat="false" ht="15" hidden="false" customHeight="true" outlineLevel="0" collapsed="false">
      <c r="A3" s="10" t="s">
        <v>71</v>
      </c>
    </row>
    <row r="4" customFormat="false" ht="15" hidden="false" customHeight="true" outlineLevel="0" collapsed="false">
      <c r="A4" s="10" t="s">
        <v>72</v>
      </c>
    </row>
  </sheetData>
  <dataValidations count="1">
    <dataValidation allowBlank="true" errorStyle="stop" operator="between" showDropDown="false" showErrorMessage="false" showInputMessage="false" sqref="E2:E5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2026-07-02T22:25:05Z</dcterms:created>
  <dc:creator>openpyxl</dc:creator>
  <dc:description/>
  <dc:language>en-US</dc:language>
  <cp:lastModifiedBy/>
  <dcterms:modified xsi:type="dcterms:W3CDTF">2026-07-02T22:25:27Z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